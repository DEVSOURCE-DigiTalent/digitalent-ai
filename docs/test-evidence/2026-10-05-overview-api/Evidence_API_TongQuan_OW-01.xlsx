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HUYEN_NGANH_9\WorkSpace\digitalent-ai\docs\test-evidence\2026-10-05-overview-api\"/>
    </mc:Choice>
  </mc:AlternateContent>
  <xr:revisionPtr revIDLastSave="0" documentId="13_ncr:1_{442772E3-96FE-4938-AE51-7EB80ACD30CF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Tong hop" sheetId="1" r:id="rId1"/>
    <sheet name="TC01" sheetId="2" r:id="rId2"/>
    <sheet name="TC02" sheetId="3" r:id="rId3"/>
    <sheet name="TC03" sheetId="4" r:id="rId4"/>
    <sheet name="TC04" sheetId="5" r:id="rId5"/>
    <sheet name="TC05" sheetId="6" r:id="rId6"/>
    <sheet name="TC06" sheetId="7" r:id="rId7"/>
    <sheet name="TC07" sheetId="8" r:id="rId8"/>
    <sheet name="TC08" sheetId="9" r:id="rId9"/>
    <sheet name="TC09" sheetId="10" r:id="rId10"/>
    <sheet name="TC10" sheetId="11" r:id="rId11"/>
    <sheet name="TC11" sheetId="12" r:id="rId12"/>
    <sheet name="TC12" sheetId="13" r:id="rId13"/>
    <sheet name="AUTO01" sheetId="14" r:id="rId14"/>
    <sheet name="AUTO02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7" i="1" s="1"/>
</calcChain>
</file>

<file path=xl/sharedStrings.xml><?xml version="1.0" encoding="utf-8"?>
<sst xmlns="http://schemas.openxmlformats.org/spreadsheetml/2006/main" count="186" uniqueCount="129">
  <si>
    <t>BÁO CÁO KIỂM THỬ API – TRANG TỔNG QUAN (OW-01)</t>
  </si>
  <si>
    <t>Branch feature/DT-overview-dashboard-api @ 6addc50 · API http://localhost:5000 (Development) · PostgreSQL 17 · Ngày 06/10/2026</t>
  </si>
  <si>
    <t>Tổng số ca kiểm thử API</t>
  </si>
  <si>
    <t>Số ca PASS</t>
  </si>
  <si>
    <t>Số ca FAIL</t>
  </si>
  <si>
    <t>Tỷ lệ PASS</t>
  </si>
  <si>
    <t>STT</t>
  </si>
  <si>
    <t>Mã TC</t>
  </si>
  <si>
    <t>Chức năng</t>
  </si>
  <si>
    <t>Mô tả ca kiểm thử</t>
  </si>
  <si>
    <t>Endpoint</t>
  </si>
  <si>
    <t>Vai trò</t>
  </si>
  <si>
    <t>Tiền điều kiện / Dữ liệu</t>
  </si>
  <si>
    <t>Kết quả mong đợi</t>
  </si>
  <si>
    <t>Kết quả thực tế</t>
  </si>
  <si>
    <t>HTTP</t>
  </si>
  <si>
    <t>Trạng thái</t>
  </si>
  <si>
    <t>Evidence</t>
  </si>
  <si>
    <t>Thời gian thực hiện</t>
  </si>
  <si>
    <t>TC01</t>
  </si>
  <si>
    <t>Xác thực</t>
  </si>
  <si>
    <t>Đăng nhập HR Manager để lấy access token</t>
  </si>
  <si>
    <t>POST /api/v1/auth/login</t>
  </si>
  <si>
    <t>Ẩn danh</t>
  </si>
  <si>
    <t>Tài khoản demo hr@digitalent.ai (seed Development)</t>
  </si>
  <si>
    <t>200, success = true, trả về accessToken</t>
  </si>
  <si>
    <t>HTTP 200; success = true: đạt; Có accessToken: đạt</t>
  </si>
  <si>
    <t>PASS</t>
  </si>
  <si>
    <t>Xem TC01</t>
  </si>
  <si>
    <t>06/10/2026 11:56:35</t>
  </si>
  <si>
    <t>TC02</t>
  </si>
  <si>
    <t>Tổng quan tổ chức</t>
  </si>
  <si>
    <t>HR xem tổng quan tổ chức</t>
  </si>
  <si>
    <t>GET /api/v1/organization/overview</t>
  </si>
  <si>
    <t>HR_MANAGER</t>
  </si>
  <si>
    <t>Seed Development: gói BUSINESS 50 người dùng, 1 đợt đào tạo RUNNING</t>
  </si>
  <si>
    <t>200; có thành viên, hạn mức 5/50, gói BUSINESS ACTIVE, 1 đợt đang chạy, 4 bước thiết lập</t>
  </si>
  <si>
    <t>HTTP 200; members có active/pending/inactive: đạt; seats.limit = 50: đạt; plan.code = BUSINESS, status = ACTIVE: đạt; runningBatches = 1: đạt; setup có 4 bước: đạt; setupCompleted = true: đạt</t>
  </si>
  <si>
    <t>Xem TC02</t>
  </si>
  <si>
    <t>06/10/2026 11:56:38</t>
  </si>
  <si>
    <t>TC03</t>
  </si>
  <si>
    <t>System Admin xem tổng quan tổ chức</t>
  </si>
  <si>
    <t>SYSTEM_ADMIN</t>
  </si>
  <si>
    <t>SYSTEM_ADMIN luôn qua kiểm tra quyền</t>
  </si>
  <si>
    <t>200, success = true</t>
  </si>
  <si>
    <t>HTTP 200; success = true: đạt; name = DigiTalent Demo Company: đạt</t>
  </si>
  <si>
    <t>Xem TC03</t>
  </si>
  <si>
    <t>06/10/2026 11:56:40</t>
  </si>
  <si>
    <t>TC04</t>
  </si>
  <si>
    <t>Department Manager không có quyền xem tổng quan tổ chức</t>
  </si>
  <si>
    <t>DEPARTMENT_MANAGER</t>
  </si>
  <si>
    <t>Vai trò không có dashboard.hr_company.read</t>
  </si>
  <si>
    <t>403 Forbidden, success = false</t>
  </si>
  <si>
    <t>HTTP 403; success = false: đạt</t>
  </si>
  <si>
    <t>Xem TC04</t>
  </si>
  <si>
    <t>06/10/2026 11:56:42</t>
  </si>
  <si>
    <t>TC05</t>
  </si>
  <si>
    <t>Employee không có quyền xem tổng quan tổ chức</t>
  </si>
  <si>
    <t>EMPLOYEE</t>
  </si>
  <si>
    <t>Xem TC05</t>
  </si>
  <si>
    <t>06/10/2026 11:56:43</t>
  </si>
  <si>
    <t>TC06</t>
  </si>
  <si>
    <t>Gọi tổng quan tổ chức không kèm token</t>
  </si>
  <si>
    <t>Không gửi header Authorization</t>
  </si>
  <si>
    <t>401 Unauthorized</t>
  </si>
  <si>
    <t>HTTP 401</t>
  </si>
  <si>
    <t>Xem TC06</t>
  </si>
  <si>
    <t>06/10/2026 11:56:45</t>
  </si>
  <si>
    <t>TC07</t>
  </si>
  <si>
    <t>Dashboard năng lực</t>
  </si>
  <si>
    <t>HR xem dashboard năng lực khi chưa tính skill gap</t>
  </si>
  <si>
    <t>GET /api/v1/intelligence/dashboard</t>
  </si>
  <si>
    <t>Chưa chạy tính skill gap</t>
  </si>
  <si>
    <t>200; kpis.employees = 0, đủ 6 trục miền TT02 (giá trị 0), atRisk rỗng</t>
  </si>
  <si>
    <t>HTTP 200; kpis.employees = 0: đạt; domains đủ 6 miền: đạt; atRisk rỗng: đạt</t>
  </si>
  <si>
    <t>Xem TC07</t>
  </si>
  <si>
    <t>06/10/2026 11:56:46</t>
  </si>
  <si>
    <t>TC08</t>
  </si>
  <si>
    <t>HR tính skill gap hàng loạt (chuẩn bị dữ liệu)</t>
  </si>
  <si>
    <t>POST /api/v1/intelligence/skill-gaps/calculate-batch</t>
  </si>
  <si>
    <t>Nhân viên có vị trí và bộ yêu cầu ACTIVE</t>
  </si>
  <si>
    <t>200; tính được cho 2 nhân viên</t>
  </si>
  <si>
    <t>HTTP 200; calculatedCount = 2: đạt</t>
  </si>
  <si>
    <t>Xem TC08</t>
  </si>
  <si>
    <t>06/10/2026 11:56:48</t>
  </si>
  <si>
    <t>TC09</t>
  </si>
  <si>
    <t>HR xem dashboard năng lực sau khi tính skill gap</t>
  </si>
  <si>
    <t>Đã chạy TC08</t>
  </si>
  <si>
    <t>200; 2 nhân viên được phân tích, 6 miền với mức hiện tại không vượt mức yêu cầu, atRisk giảm dần theo highCount</t>
  </si>
  <si>
    <t>HTTP 200; kpis.employees = 2: đạt; 6 miền năng lực: đạt; averageCurrent &lt;= averageRequired ở mọi miền: đạt; atRisk giảm dần theo highCount: đạt; kpis.pendingRecommendations &gt; 0: đạt</t>
  </si>
  <si>
    <t>Xem TC09</t>
  </si>
  <si>
    <t>06/10/2026 11:56:49</t>
  </si>
  <si>
    <t>TC10</t>
  </si>
  <si>
    <t>Đối chiếu pendingRecommendations với API gợi ý khóa học</t>
  </si>
  <si>
    <t>Đã chạy TC08; gọi thêm GET /intelligence/recommendations?limit=3 cho từng nhân viên đã phân tích</t>
  </si>
  <si>
    <t>pendingRecommendations = tổng số khóa gợi ý (top 3) chưa ghi danh của các nhân viên đã phân tích</t>
  </si>
  <si>
    <t>HTTP 200; Đếm lại qua API gợi ý: 3 + 3 = 6 (chưa có quyết định duyệt nào): đạt; pendingRecommendations = 6 khớp 6: đạt</t>
  </si>
  <si>
    <t>Xem TC10</t>
  </si>
  <si>
    <t>06/10/2026 11:56:51</t>
  </si>
  <si>
    <t>TC11</t>
  </si>
  <si>
    <t>Department Manager không có quyền xem dashboard năng lực</t>
  </si>
  <si>
    <t>Xem TC11</t>
  </si>
  <si>
    <t>06/10/2026 11:56:53</t>
  </si>
  <si>
    <t>TC12</t>
  </si>
  <si>
    <t>Gọi dashboard năng lực không kèm token</t>
  </si>
  <si>
    <t>Xem TC12</t>
  </si>
  <si>
    <t>06/10/2026 11:56:54</t>
  </si>
  <si>
    <t>Ghi chú</t>
  </si>
  <si>
    <t>1. Mỗi ca có một sheet evidence cùng tên; vùng khoanh đỏ là bằng chứng chính (HTTP status, trường dữ liệu được kiểm tra, kết luận).</t>
  </si>
  <si>
    <t>2. Các ca chạy tuần tự trên cùng một DB mới: TC07 chạy trước khi tính skill gap; TC08 là bước chuẩn bị dữ liệu cho TC09, TC10.</t>
  </si>
  <si>
    <t>3. TC10 đối chiếu chéo: đếm lại số gợi ý chờ duyệt bằng GET /api/v1/intelligence/recommendations?limit=3 cho từng nhân viên đã phân tích.</t>
  </si>
  <si>
    <t>4. Token và mật khẩu trong evidence đã được che. Dữ liệu từ seed Development (tài khoản demo, mật khẩu Admin@1234).</t>
  </si>
  <si>
    <t>5. Môi trường: API chạy local (Development) trên commit ghi ở dòng 2; PostgreSQL 17 bản tạm (dự án dùng PostgreSQL 16, schema và migration như nhau).</t>
  </si>
  <si>
    <t>6. Sheet AUTO01, AUTO02: kết quả test tự động (xUnit) trên PostgreSQL thật.</t>
  </si>
  <si>
    <t>TC01 – Đăng nhập HR Manager để lấy access token</t>
  </si>
  <si>
    <t>← Quay lại Tổng hợp</t>
  </si>
  <si>
    <t>TC02 – HR xem tổng quan tổ chức</t>
  </si>
  <si>
    <t>TC03 – System Admin xem tổng quan tổ chức</t>
  </si>
  <si>
    <t>TC04 – Department Manager không có quyền xem tổng quan tổ chức</t>
  </si>
  <si>
    <t>TC05 – Employee không có quyền xem tổng quan tổ chức</t>
  </si>
  <si>
    <t>TC06 – Gọi tổng quan tổ chức không kèm token</t>
  </si>
  <si>
    <t>TC07 – HR xem dashboard năng lực khi chưa tính skill gap</t>
  </si>
  <si>
    <t>TC08 – HR tính skill gap hàng loạt (chuẩn bị dữ liệu)</t>
  </si>
  <si>
    <t>TC09 – HR xem dashboard năng lực sau khi tính skill gap</t>
  </si>
  <si>
    <t>TC10 – Đối chiếu pendingRecommendations với API gợi ý khóa học</t>
  </si>
  <si>
    <t>TC11 – Department Manager không có quyền xem dashboard năng lực</t>
  </si>
  <si>
    <t>TC12 – Gọi dashboard năng lực không kèm token</t>
  </si>
  <si>
    <t>AUTO01 – Kết quả test tự động (dotnet test)</t>
  </si>
  <si>
    <t>AUTO02 – Kết quả test tự động (dotnet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</si>
</sst>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55555"/>
      <name val="Arial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2"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60864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1375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12725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4838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4838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452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13439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8915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16144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15382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4838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452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3924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334500" cy="1543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pane xSplit="2" ySplit="8" topLeftCell="C9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8" customWidth="1"/>
    <col min="3" max="3" width="16" customWidth="1"/>
    <col min="4" max="5" width="34" customWidth="1"/>
    <col min="6" max="6" width="18" customWidth="1"/>
    <col min="7" max="7" width="30" customWidth="1"/>
    <col min="8" max="8" width="36" customWidth="1"/>
    <col min="9" max="9" width="44" customWidth="1"/>
    <col min="10" max="10" width="7" customWidth="1"/>
    <col min="11" max="12" width="11" customWidth="1"/>
    <col min="13" max="13" width="18" customWidth="1"/>
  </cols>
  <sheetData>
    <row r="1" spans="1:13" ht="17.399999999999999" x14ac:dyDescent="0.3">
      <c r="A1" s="1" t="s">
        <v>0</v>
      </c>
    </row>
    <row r="2" spans="1:13" x14ac:dyDescent="0.3">
      <c r="A2" s="2" t="s">
        <v>1</v>
      </c>
    </row>
    <row r="4" spans="1:13" x14ac:dyDescent="0.3">
      <c r="A4" s="3" t="s">
        <v>2</v>
      </c>
      <c r="B4" s="4">
        <f>COUNTA(B9:B20)</f>
        <v>12</v>
      </c>
    </row>
    <row r="5" spans="1:13" x14ac:dyDescent="0.3">
      <c r="A5" s="3" t="s">
        <v>3</v>
      </c>
      <c r="B5" s="4">
        <f>COUNTIF(K9:K20,"PASS")</f>
        <v>12</v>
      </c>
    </row>
    <row r="6" spans="1:13" x14ac:dyDescent="0.3">
      <c r="A6" s="3" t="s">
        <v>4</v>
      </c>
      <c r="B6" s="4">
        <f>COUNTIF(K9:K20,"FAIL")</f>
        <v>0</v>
      </c>
    </row>
    <row r="7" spans="1:13" x14ac:dyDescent="0.3">
      <c r="A7" s="3" t="s">
        <v>5</v>
      </c>
      <c r="B7" s="5">
        <f>IF(B4=0,0,B5/B4)</f>
        <v>1</v>
      </c>
    </row>
    <row r="8" spans="1:13" ht="27.6" x14ac:dyDescent="0.3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17</v>
      </c>
      <c r="M8" s="6" t="s">
        <v>18</v>
      </c>
    </row>
    <row r="9" spans="1:13" ht="26.4" x14ac:dyDescent="0.3">
      <c r="A9" s="7">
        <v>1</v>
      </c>
      <c r="B9" s="7" t="s">
        <v>19</v>
      </c>
      <c r="C9" s="8" t="s">
        <v>20</v>
      </c>
      <c r="D9" s="8" t="s">
        <v>21</v>
      </c>
      <c r="E9" s="8" t="s">
        <v>22</v>
      </c>
      <c r="F9" s="8" t="s">
        <v>23</v>
      </c>
      <c r="G9" s="8" t="s">
        <v>24</v>
      </c>
      <c r="H9" s="8" t="s">
        <v>25</v>
      </c>
      <c r="I9" s="8" t="s">
        <v>26</v>
      </c>
      <c r="J9" s="7">
        <v>200</v>
      </c>
      <c r="K9" s="7" t="s">
        <v>27</v>
      </c>
      <c r="L9" s="9" t="s">
        <v>28</v>
      </c>
      <c r="M9" s="8" t="s">
        <v>29</v>
      </c>
    </row>
    <row r="10" spans="1:13" ht="52.8" x14ac:dyDescent="0.3">
      <c r="A10" s="7">
        <v>2</v>
      </c>
      <c r="B10" s="7" t="s">
        <v>30</v>
      </c>
      <c r="C10" s="8" t="s">
        <v>31</v>
      </c>
      <c r="D10" s="8" t="s">
        <v>32</v>
      </c>
      <c r="E10" s="8" t="s">
        <v>33</v>
      </c>
      <c r="F10" s="8" t="s">
        <v>34</v>
      </c>
      <c r="G10" s="8" t="s">
        <v>35</v>
      </c>
      <c r="H10" s="8" t="s">
        <v>36</v>
      </c>
      <c r="I10" s="8" t="s">
        <v>37</v>
      </c>
      <c r="J10" s="7">
        <v>200</v>
      </c>
      <c r="K10" s="7" t="s">
        <v>27</v>
      </c>
      <c r="L10" s="9" t="s">
        <v>38</v>
      </c>
      <c r="M10" s="8" t="s">
        <v>39</v>
      </c>
    </row>
    <row r="11" spans="1:13" ht="26.4" x14ac:dyDescent="0.3">
      <c r="A11" s="7">
        <v>3</v>
      </c>
      <c r="B11" s="7" t="s">
        <v>40</v>
      </c>
      <c r="C11" s="8" t="s">
        <v>31</v>
      </c>
      <c r="D11" s="8" t="s">
        <v>41</v>
      </c>
      <c r="E11" s="8" t="s">
        <v>33</v>
      </c>
      <c r="F11" s="8" t="s">
        <v>42</v>
      </c>
      <c r="G11" s="8" t="s">
        <v>43</v>
      </c>
      <c r="H11" s="8" t="s">
        <v>44</v>
      </c>
      <c r="I11" s="8" t="s">
        <v>45</v>
      </c>
      <c r="J11" s="7">
        <v>200</v>
      </c>
      <c r="K11" s="7" t="s">
        <v>27</v>
      </c>
      <c r="L11" s="9" t="s">
        <v>46</v>
      </c>
      <c r="M11" s="8" t="s">
        <v>47</v>
      </c>
    </row>
    <row r="12" spans="1:13" ht="26.4" x14ac:dyDescent="0.3">
      <c r="A12" s="7">
        <v>4</v>
      </c>
      <c r="B12" s="7" t="s">
        <v>48</v>
      </c>
      <c r="C12" s="8" t="s">
        <v>31</v>
      </c>
      <c r="D12" s="8" t="s">
        <v>49</v>
      </c>
      <c r="E12" s="8" t="s">
        <v>33</v>
      </c>
      <c r="F12" s="8" t="s">
        <v>50</v>
      </c>
      <c r="G12" s="8" t="s">
        <v>51</v>
      </c>
      <c r="H12" s="8" t="s">
        <v>52</v>
      </c>
      <c r="I12" s="8" t="s">
        <v>53</v>
      </c>
      <c r="J12" s="7">
        <v>403</v>
      </c>
      <c r="K12" s="7" t="s">
        <v>27</v>
      </c>
      <c r="L12" s="9" t="s">
        <v>54</v>
      </c>
      <c r="M12" s="8" t="s">
        <v>55</v>
      </c>
    </row>
    <row r="13" spans="1:13" ht="26.4" x14ac:dyDescent="0.3">
      <c r="A13" s="7">
        <v>5</v>
      </c>
      <c r="B13" s="7" t="s">
        <v>56</v>
      </c>
      <c r="C13" s="8" t="s">
        <v>31</v>
      </c>
      <c r="D13" s="8" t="s">
        <v>57</v>
      </c>
      <c r="E13" s="8" t="s">
        <v>33</v>
      </c>
      <c r="F13" s="8" t="s">
        <v>58</v>
      </c>
      <c r="G13" s="8" t="s">
        <v>51</v>
      </c>
      <c r="H13" s="8" t="s">
        <v>52</v>
      </c>
      <c r="I13" s="8" t="s">
        <v>53</v>
      </c>
      <c r="J13" s="7">
        <v>403</v>
      </c>
      <c r="K13" s="7" t="s">
        <v>27</v>
      </c>
      <c r="L13" s="9" t="s">
        <v>59</v>
      </c>
      <c r="M13" s="8" t="s">
        <v>60</v>
      </c>
    </row>
    <row r="14" spans="1:13" ht="26.4" x14ac:dyDescent="0.3">
      <c r="A14" s="7">
        <v>6</v>
      </c>
      <c r="B14" s="7" t="s">
        <v>61</v>
      </c>
      <c r="C14" s="8" t="s">
        <v>31</v>
      </c>
      <c r="D14" s="8" t="s">
        <v>62</v>
      </c>
      <c r="E14" s="8" t="s">
        <v>33</v>
      </c>
      <c r="F14" s="8" t="s">
        <v>23</v>
      </c>
      <c r="G14" s="8" t="s">
        <v>63</v>
      </c>
      <c r="H14" s="8" t="s">
        <v>64</v>
      </c>
      <c r="I14" s="8" t="s">
        <v>65</v>
      </c>
      <c r="J14" s="7">
        <v>401</v>
      </c>
      <c r="K14" s="7" t="s">
        <v>27</v>
      </c>
      <c r="L14" s="9" t="s">
        <v>66</v>
      </c>
      <c r="M14" s="8" t="s">
        <v>67</v>
      </c>
    </row>
    <row r="15" spans="1:13" ht="26.4" x14ac:dyDescent="0.3">
      <c r="A15" s="7">
        <v>7</v>
      </c>
      <c r="B15" s="7" t="s">
        <v>68</v>
      </c>
      <c r="C15" s="8" t="s">
        <v>69</v>
      </c>
      <c r="D15" s="8" t="s">
        <v>70</v>
      </c>
      <c r="E15" s="8" t="s">
        <v>71</v>
      </c>
      <c r="F15" s="8" t="s">
        <v>34</v>
      </c>
      <c r="G15" s="8" t="s">
        <v>72</v>
      </c>
      <c r="H15" s="8" t="s">
        <v>73</v>
      </c>
      <c r="I15" s="8" t="s">
        <v>74</v>
      </c>
      <c r="J15" s="7">
        <v>200</v>
      </c>
      <c r="K15" s="7" t="s">
        <v>27</v>
      </c>
      <c r="L15" s="9" t="s">
        <v>75</v>
      </c>
      <c r="M15" s="8" t="s">
        <v>76</v>
      </c>
    </row>
    <row r="16" spans="1:13" ht="26.4" x14ac:dyDescent="0.3">
      <c r="A16" s="7">
        <v>8</v>
      </c>
      <c r="B16" s="7" t="s">
        <v>77</v>
      </c>
      <c r="C16" s="8" t="s">
        <v>69</v>
      </c>
      <c r="D16" s="8" t="s">
        <v>78</v>
      </c>
      <c r="E16" s="8" t="s">
        <v>79</v>
      </c>
      <c r="F16" s="8" t="s">
        <v>34</v>
      </c>
      <c r="G16" s="8" t="s">
        <v>80</v>
      </c>
      <c r="H16" s="8" t="s">
        <v>81</v>
      </c>
      <c r="I16" s="8" t="s">
        <v>82</v>
      </c>
      <c r="J16" s="7">
        <v>200</v>
      </c>
      <c r="K16" s="7" t="s">
        <v>27</v>
      </c>
      <c r="L16" s="9" t="s">
        <v>83</v>
      </c>
      <c r="M16" s="8" t="s">
        <v>84</v>
      </c>
    </row>
    <row r="17" spans="1:13" ht="52.8" x14ac:dyDescent="0.3">
      <c r="A17" s="7">
        <v>9</v>
      </c>
      <c r="B17" s="7" t="s">
        <v>85</v>
      </c>
      <c r="C17" s="8" t="s">
        <v>69</v>
      </c>
      <c r="D17" s="8" t="s">
        <v>86</v>
      </c>
      <c r="E17" s="8" t="s">
        <v>71</v>
      </c>
      <c r="F17" s="8" t="s">
        <v>34</v>
      </c>
      <c r="G17" s="8" t="s">
        <v>87</v>
      </c>
      <c r="H17" s="8" t="s">
        <v>88</v>
      </c>
      <c r="I17" s="8" t="s">
        <v>89</v>
      </c>
      <c r="J17" s="7">
        <v>200</v>
      </c>
      <c r="K17" s="7" t="s">
        <v>27</v>
      </c>
      <c r="L17" s="9" t="s">
        <v>90</v>
      </c>
      <c r="M17" s="8" t="s">
        <v>91</v>
      </c>
    </row>
    <row r="18" spans="1:13" ht="52.8" x14ac:dyDescent="0.3">
      <c r="A18" s="7">
        <v>10</v>
      </c>
      <c r="B18" s="7" t="s">
        <v>92</v>
      </c>
      <c r="C18" s="8" t="s">
        <v>69</v>
      </c>
      <c r="D18" s="8" t="s">
        <v>93</v>
      </c>
      <c r="E18" s="8" t="s">
        <v>71</v>
      </c>
      <c r="F18" s="8" t="s">
        <v>34</v>
      </c>
      <c r="G18" s="8" t="s">
        <v>94</v>
      </c>
      <c r="H18" s="8" t="s">
        <v>95</v>
      </c>
      <c r="I18" s="8" t="s">
        <v>96</v>
      </c>
      <c r="J18" s="7">
        <v>200</v>
      </c>
      <c r="K18" s="7" t="s">
        <v>27</v>
      </c>
      <c r="L18" s="9" t="s">
        <v>97</v>
      </c>
      <c r="M18" s="8" t="s">
        <v>98</v>
      </c>
    </row>
    <row r="19" spans="1:13" ht="26.4" x14ac:dyDescent="0.3">
      <c r="A19" s="7">
        <v>11</v>
      </c>
      <c r="B19" s="7" t="s">
        <v>99</v>
      </c>
      <c r="C19" s="8" t="s">
        <v>69</v>
      </c>
      <c r="D19" s="8" t="s">
        <v>100</v>
      </c>
      <c r="E19" s="8" t="s">
        <v>71</v>
      </c>
      <c r="F19" s="8" t="s">
        <v>50</v>
      </c>
      <c r="G19" s="8" t="s">
        <v>51</v>
      </c>
      <c r="H19" s="8" t="s">
        <v>52</v>
      </c>
      <c r="I19" s="8" t="s">
        <v>53</v>
      </c>
      <c r="J19" s="7">
        <v>403</v>
      </c>
      <c r="K19" s="7" t="s">
        <v>27</v>
      </c>
      <c r="L19" s="9" t="s">
        <v>101</v>
      </c>
      <c r="M19" s="8" t="s">
        <v>102</v>
      </c>
    </row>
    <row r="20" spans="1:13" ht="26.4" x14ac:dyDescent="0.3">
      <c r="A20" s="7">
        <v>12</v>
      </c>
      <c r="B20" s="7" t="s">
        <v>103</v>
      </c>
      <c r="C20" s="8" t="s">
        <v>69</v>
      </c>
      <c r="D20" s="8" t="s">
        <v>104</v>
      </c>
      <c r="E20" s="8" t="s">
        <v>71</v>
      </c>
      <c r="F20" s="8" t="s">
        <v>23</v>
      </c>
      <c r="G20" s="8" t="s">
        <v>63</v>
      </c>
      <c r="H20" s="8" t="s">
        <v>64</v>
      </c>
      <c r="I20" s="8" t="s">
        <v>65</v>
      </c>
      <c r="J20" s="7">
        <v>401</v>
      </c>
      <c r="K20" s="7" t="s">
        <v>27</v>
      </c>
      <c r="L20" s="9" t="s">
        <v>105</v>
      </c>
      <c r="M20" s="8" t="s">
        <v>106</v>
      </c>
    </row>
    <row r="22" spans="1:13" x14ac:dyDescent="0.3">
      <c r="A22" s="10" t="s">
        <v>107</v>
      </c>
    </row>
    <row r="23" spans="1:13" x14ac:dyDescent="0.3">
      <c r="A23" s="11" t="s">
        <v>108</v>
      </c>
    </row>
    <row r="24" spans="1:13" x14ac:dyDescent="0.3">
      <c r="A24" s="11" t="s">
        <v>109</v>
      </c>
    </row>
    <row r="25" spans="1:13" x14ac:dyDescent="0.3">
      <c r="A25" s="11" t="s">
        <v>110</v>
      </c>
    </row>
    <row r="26" spans="1:13" x14ac:dyDescent="0.3">
      <c r="A26" s="11" t="s">
        <v>111</v>
      </c>
    </row>
    <row r="27" spans="1:13" x14ac:dyDescent="0.3">
      <c r="A27" s="11" t="s">
        <v>112</v>
      </c>
    </row>
    <row r="28" spans="1:13" x14ac:dyDescent="0.3">
      <c r="A28" s="11" t="s">
        <v>113</v>
      </c>
    </row>
  </sheetData>
  <conditionalFormatting sqref="K9:K20">
    <cfRule type="cellIs" dxfId="1" priority="1" operator="equal">
      <formula>"PASS"</formula>
    </cfRule>
    <cfRule type="cellIs" dxfId="0" priority="2" operator="equal">
      <formula>"FAIL"</formula>
    </cfRule>
  </conditionalFormatting>
  <hyperlinks>
    <hyperlink ref="L9" location="'TC01'!A1" display="Xem TC01" xr:uid="{00000000-0004-0000-0000-000000000000}"/>
    <hyperlink ref="L10" location="'TC02'!A1" display="Xem TC02" xr:uid="{00000000-0004-0000-0000-000001000000}"/>
    <hyperlink ref="L11" location="'TC03'!A1" display="Xem TC03" xr:uid="{00000000-0004-0000-0000-000002000000}"/>
    <hyperlink ref="L12" location="'TC04'!A1" display="Xem TC04" xr:uid="{00000000-0004-0000-0000-000003000000}"/>
    <hyperlink ref="L13" location="'TC05'!A1" display="Xem TC05" xr:uid="{00000000-0004-0000-0000-000004000000}"/>
    <hyperlink ref="L14" location="'TC06'!A1" display="Xem TC06" xr:uid="{00000000-0004-0000-0000-000005000000}"/>
    <hyperlink ref="L15" location="'TC07'!A1" display="Xem TC07" xr:uid="{00000000-0004-0000-0000-000006000000}"/>
    <hyperlink ref="L16" location="'TC08'!A1" display="Xem TC08" xr:uid="{00000000-0004-0000-0000-000007000000}"/>
    <hyperlink ref="L17" location="'TC09'!A1" display="Xem TC09" xr:uid="{00000000-0004-0000-0000-000008000000}"/>
    <hyperlink ref="L18" location="'TC10'!A1" display="Xem TC10" xr:uid="{00000000-0004-0000-0000-000009000000}"/>
    <hyperlink ref="L19" location="'TC11'!A1" display="Xem TC11" xr:uid="{00000000-0004-0000-0000-00000A000000}"/>
    <hyperlink ref="L20" location="'TC12'!A1" display="Xem TC12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114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100-000000000000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116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200-000000000000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117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300-000000000000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118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400-000000000000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119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500-00000000000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120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600-00000000000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121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700-000000000000}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122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800-000000000000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123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900-000000000000}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124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A00-000000000000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125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B00-000000000000}"/>
  </hyperlink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126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C00-000000000000}"/>
  </hyperlink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127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D00-000000000000}"/>
  </hyperlink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showGridLines="0" workbookViewId="0"/>
  </sheetViews>
  <sheetFormatPr defaultRowHeight="14.4" x14ac:dyDescent="0.3"/>
  <sheetData>
    <row r="1" spans="1:1" ht="16.8" x14ac:dyDescent="0.3">
      <c r="A1" s="12" t="s">
        <v>128</v>
      </c>
    </row>
    <row r="2" spans="1:1" x14ac:dyDescent="0.3">
      <c r="A2" s="13" t="s">
        <v>115</v>
      </c>
    </row>
  </sheetData>
  <hyperlinks>
    <hyperlink ref="A2" location="'Tong hop'!A1" display="← Quay lại Tổng hợp" xr:uid="{00000000-0004-0000-0E00-000000000000}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Tong hop</vt:lpstr>
      <vt:lpstr>TC01</vt:lpstr>
      <vt:lpstr>TC02</vt:lpstr>
      <vt:lpstr>TC03</vt:lpstr>
      <vt:lpstr>TC04</vt:lpstr>
      <vt:lpstr>TC05</vt:lpstr>
      <vt:lpstr>TC06</vt:lpstr>
      <vt:lpstr>TC07</vt:lpstr>
      <vt:lpstr>TC08</vt:lpstr>
      <vt:lpstr>TC09</vt:lpstr>
      <vt:lpstr>TC10</vt:lpstr>
      <vt:lpstr>TC11</vt:lpstr>
      <vt:lpstr>TC12</vt:lpstr>
      <vt:lpstr>AUTO01</vt:lpstr>
      <vt:lpstr>AUTO02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2026-10-06T04:56:58Z</dcterms:created>
  <dcterms:modified xsi:type="dcterms:W3CDTF">2026-10-06T04:57:08Z</dcterms:modified>
</cp:coreProperties>
</file>